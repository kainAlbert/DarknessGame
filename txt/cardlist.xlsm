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eclipse\pleiades\workspace\CardGame\txt\"/>
    </mc:Choice>
  </mc:AlternateContent>
  <bookViews>
    <workbookView xWindow="0" yWindow="0" windowWidth="23472" windowHeight="10452"/>
  </bookViews>
  <sheets>
    <sheet name="カードリスト" sheetId="1" r:id="rId1"/>
    <sheet name="Sheet1" sheetId="2" r:id="rId2"/>
    <sheet name="Sheet1 (2)" sheetId="3" r:id="rId3"/>
    <sheet name="Sheet2" sheetId="4" r:id="rId4"/>
  </sheets>
  <calcPr calcId="171027" concurrentCalc="0"/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C8" i="4"/>
  <c r="C9" i="4"/>
  <c r="C10" i="4"/>
  <c r="C11" i="4"/>
  <c r="I11" i="4"/>
  <c r="I10" i="4"/>
  <c r="I9" i="4"/>
  <c r="I8" i="4"/>
  <c r="I7" i="4"/>
  <c r="I6" i="4"/>
  <c r="I5" i="4"/>
  <c r="I4" i="4"/>
  <c r="I3" i="4"/>
  <c r="I2" i="4"/>
  <c r="B11" i="4"/>
  <c r="D11" i="4"/>
  <c r="B10" i="4"/>
  <c r="D10" i="4"/>
  <c r="B9" i="4"/>
  <c r="D9" i="4"/>
  <c r="B8" i="4"/>
  <c r="D8" i="4"/>
  <c r="B7" i="4"/>
  <c r="D7" i="4"/>
  <c r="B6" i="4"/>
  <c r="D6" i="4"/>
  <c r="B5" i="4"/>
  <c r="D5" i="4"/>
  <c r="B4" i="4"/>
  <c r="D4" i="4"/>
  <c r="B3" i="4"/>
  <c r="D3" i="4"/>
  <c r="B2" i="4"/>
  <c r="D2" i="4"/>
  <c r="A15" i="1"/>
  <c r="A16" i="1"/>
  <c r="A17" i="1"/>
  <c r="A18" i="1"/>
  <c r="A19" i="1"/>
  <c r="A20" i="1"/>
  <c r="A21" i="1"/>
  <c r="A22" i="1"/>
  <c r="A23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1" i="1"/>
  <c r="A42" i="1"/>
  <c r="A43" i="1"/>
  <c r="A44" i="1"/>
  <c r="A45" i="1"/>
  <c r="A48" i="1"/>
  <c r="A49" i="1"/>
  <c r="A50" i="1"/>
  <c r="A51" i="1"/>
  <c r="A52" i="1"/>
  <c r="A53" i="1"/>
  <c r="A54" i="1"/>
  <c r="A55" i="1"/>
  <c r="A56" i="1"/>
  <c r="A59" i="1"/>
  <c r="A60" i="1"/>
  <c r="A61" i="1"/>
  <c r="A4" i="1"/>
  <c r="A5" i="1"/>
  <c r="A6" i="1"/>
  <c r="A7" i="1"/>
  <c r="A8" i="1"/>
  <c r="A9" i="1"/>
  <c r="A10" i="1"/>
  <c r="A11" i="1"/>
  <c r="A12" i="1"/>
</calcChain>
</file>

<file path=xl/sharedStrings.xml><?xml version="1.0" encoding="utf-8"?>
<sst xmlns="http://schemas.openxmlformats.org/spreadsheetml/2006/main" count="178" uniqueCount="162">
  <si>
    <t>ID</t>
  </si>
  <si>
    <t>名前</t>
  </si>
  <si>
    <t>1:兵士　2:呪文</t>
  </si>
  <si>
    <t>コスト</t>
  </si>
  <si>
    <t>攻撃力</t>
  </si>
  <si>
    <t>HP</t>
  </si>
  <si>
    <t>説明</t>
  </si>
  <si>
    <t>呉</t>
  </si>
  <si>
    <t>周瑜</t>
  </si>
  <si>
    <t>陸遜</t>
  </si>
  <si>
    <t>孫尚香</t>
  </si>
  <si>
    <t>雄叫び：敵1体に2ダメージ</t>
  </si>
  <si>
    <t>徐夫人</t>
  </si>
  <si>
    <t>呪文ダメージ+1</t>
  </si>
  <si>
    <t>稲妻</t>
  </si>
  <si>
    <t>敵兵士1体に2ダメージ</t>
  </si>
  <si>
    <t>火の玉</t>
  </si>
  <si>
    <t>敵1体に3ダメージ</t>
  </si>
  <si>
    <t>炎上</t>
  </si>
  <si>
    <t>全ての敵兵士に1ダメージ</t>
  </si>
  <si>
    <t>赤壁の大火</t>
  </si>
  <si>
    <t>敵1体に6ダメージ</t>
  </si>
  <si>
    <t>知性</t>
  </si>
  <si>
    <t>恐怖</t>
  </si>
  <si>
    <t>敵兵士1体を破壊</t>
  </si>
  <si>
    <t>蜀</t>
  </si>
  <si>
    <t>劉備</t>
  </si>
  <si>
    <t>雄叫び：デッキまたは手札から関羽と張飛を召喚</t>
  </si>
  <si>
    <t>関羽</t>
  </si>
  <si>
    <t>張飛</t>
  </si>
  <si>
    <t>黄忠</t>
  </si>
  <si>
    <t>挑発</t>
  </si>
  <si>
    <t>魏延</t>
  </si>
  <si>
    <t>雄叫び：味方軍師HP+5</t>
  </si>
  <si>
    <t>関銀屏</t>
  </si>
  <si>
    <t>甘皇后</t>
  </si>
  <si>
    <t>雄叫び：味方1体のHP+2</t>
  </si>
  <si>
    <t>援軍</t>
  </si>
  <si>
    <t>全ての味方のHP+2</t>
  </si>
  <si>
    <t>巨大化</t>
  </si>
  <si>
    <t>味方1体の攻撃力・HP+3</t>
  </si>
  <si>
    <t>自然</t>
  </si>
  <si>
    <t>魏</t>
  </si>
  <si>
    <t>曹操</t>
  </si>
  <si>
    <t>突撃、雄叫び：このターン全ての味方兵士の攻撃力+2</t>
  </si>
  <si>
    <t>夏侯惇</t>
  </si>
  <si>
    <t>張ｺｳ</t>
  </si>
  <si>
    <t>攻撃時、攻撃力+2</t>
  </si>
  <si>
    <t>郭嘉</t>
  </si>
  <si>
    <t>ﾎｳ娥</t>
  </si>
  <si>
    <t>王異</t>
  </si>
  <si>
    <t>弱体化</t>
  </si>
  <si>
    <t>突撃召喚</t>
  </si>
  <si>
    <t>初級騎兵を3体召喚</t>
  </si>
  <si>
    <t>乱撃</t>
  </si>
  <si>
    <t>切断</t>
  </si>
  <si>
    <t>敵兵士1体に8ダメージ</t>
  </si>
  <si>
    <t>群</t>
  </si>
  <si>
    <t>呂布</t>
  </si>
  <si>
    <t>突撃、挑発。軍師は攻撃できない。攻撃時、攻撃力+5</t>
  </si>
  <si>
    <t>張角</t>
  </si>
  <si>
    <t>高順</t>
  </si>
  <si>
    <t>断末魔：中級歩兵を召喚</t>
  </si>
  <si>
    <t>李儒</t>
  </si>
  <si>
    <t>断末魔：味方軍師のHP+3</t>
  </si>
  <si>
    <t>祝融</t>
  </si>
  <si>
    <t>厳氏</t>
  </si>
  <si>
    <t>公孫瓚</t>
  </si>
  <si>
    <t>断末魔：初級歩兵を2体召喚</t>
  </si>
  <si>
    <t>袁紹</t>
  </si>
  <si>
    <t>断末魔：初級歩兵を召喚</t>
  </si>
  <si>
    <t>貂蝉</t>
  </si>
  <si>
    <t>挑発、断末魔：呂布をデッキから手札に加える</t>
  </si>
  <si>
    <t>破滅</t>
  </si>
  <si>
    <t>共通</t>
  </si>
  <si>
    <t>初級歩兵</t>
  </si>
  <si>
    <t>中級歩兵</t>
  </si>
  <si>
    <t>上級歩兵</t>
  </si>
  <si>
    <t>初級騎兵</t>
  </si>
  <si>
    <t>突撃</t>
  </si>
  <si>
    <t>中級騎兵</t>
  </si>
  <si>
    <t>上級騎兵</t>
  </si>
  <si>
    <t>初級槍兵</t>
  </si>
  <si>
    <t>中級槍兵</t>
  </si>
  <si>
    <t>上級槍兵</t>
  </si>
  <si>
    <t>矢の一撃</t>
  </si>
  <si>
    <t>オブジェクト</t>
  </si>
  <si>
    <t>【ボタン】</t>
  </si>
  <si>
    <t>手札10枚</t>
  </si>
  <si>
    <t>山札1つ</t>
  </si>
  <si>
    <t>場に敵味方合わせて10枚</t>
  </si>
  <si>
    <t>キャラクター2つ</t>
  </si>
  <si>
    <t>計23</t>
  </si>
  <si>
    <t>枠画像のみ</t>
  </si>
  <si>
    <t>400×600</t>
  </si>
  <si>
    <t>透明</t>
  </si>
  <si>
    <t>赤の部分が最前面</t>
  </si>
  <si>
    <t>無し</t>
    <rPh sb="0" eb="1">
      <t>ナ</t>
    </rPh>
    <phoneticPr fontId="3"/>
  </si>
  <si>
    <t>雄叫び：「赤壁の大火」を2枚手札に加える</t>
    <phoneticPr fontId="3"/>
  </si>
  <si>
    <t>雄叫び：カードを1枚引く</t>
    <rPh sb="9" eb="10">
      <t>マイ</t>
    </rPh>
    <rPh sb="10" eb="11">
      <t>ヒ</t>
    </rPh>
    <phoneticPr fontId="3"/>
  </si>
  <si>
    <t>カードを2枚引く</t>
    <rPh sb="5" eb="6">
      <t>マイ</t>
    </rPh>
    <rPh sb="6" eb="7">
      <t>ヒ</t>
    </rPh>
    <phoneticPr fontId="3"/>
  </si>
  <si>
    <t>最大マナ+1　味方軍師HP+2</t>
    <rPh sb="0" eb="2">
      <t>サイダイ</t>
    </rPh>
    <phoneticPr fontId="3"/>
  </si>
  <si>
    <t>全ての敵兵士に2ダメージ</t>
    <rPh sb="0" eb="1">
      <t>スベ</t>
    </rPh>
    <rPh sb="3" eb="4">
      <t>テキ</t>
    </rPh>
    <rPh sb="4" eb="6">
      <t>ヘイシ</t>
    </rPh>
    <phoneticPr fontId="3"/>
  </si>
  <si>
    <t>自分の場が埋まるまで初級歩兵を召喚</t>
    <rPh sb="10" eb="12">
      <t>ショキュウ</t>
    </rPh>
    <phoneticPr fontId="3"/>
  </si>
  <si>
    <t>敵1体に1ダメージ　カードを1枚引く</t>
    <rPh sb="0" eb="1">
      <t>テキ</t>
    </rPh>
    <rPh sb="2" eb="3">
      <t>タイ</t>
    </rPh>
    <rPh sb="15" eb="16">
      <t>マイ</t>
    </rPh>
    <rPh sb="16" eb="17">
      <t>ヒ</t>
    </rPh>
    <phoneticPr fontId="3"/>
  </si>
  <si>
    <t>雄叫び：敵兵士1体の攻撃力-2</t>
    <rPh sb="0" eb="2">
      <t>オタケ</t>
    </rPh>
    <phoneticPr fontId="3"/>
  </si>
  <si>
    <t>召喚した全ての味方兵士は突撃を得る</t>
    <rPh sb="0" eb="2">
      <t>ショウカン</t>
    </rPh>
    <phoneticPr fontId="3"/>
  </si>
  <si>
    <t>【残りの作業】</t>
    <rPh sb="1" eb="2">
      <t>ノコ</t>
    </rPh>
    <rPh sb="4" eb="6">
      <t>サギョウ</t>
    </rPh>
    <phoneticPr fontId="3"/>
  </si>
  <si>
    <t>勝ち負け</t>
    <rPh sb="0" eb="1">
      <t>カ</t>
    </rPh>
    <rPh sb="2" eb="3">
      <t>マ</t>
    </rPh>
    <phoneticPr fontId="3"/>
  </si>
  <si>
    <t>ヒーローパワー</t>
    <phoneticPr fontId="3"/>
  </si>
  <si>
    <t>軍師の説明</t>
    <rPh sb="0" eb="2">
      <t>グンシ</t>
    </rPh>
    <rPh sb="3" eb="5">
      <t>セツメイ</t>
    </rPh>
    <phoneticPr fontId="3"/>
  </si>
  <si>
    <t>呉</t>
    <rPh sb="0" eb="1">
      <t>ゴ</t>
    </rPh>
    <phoneticPr fontId="3"/>
  </si>
  <si>
    <t>蜀</t>
    <rPh sb="0" eb="1">
      <t>ショク</t>
    </rPh>
    <phoneticPr fontId="3"/>
  </si>
  <si>
    <t>魏</t>
    <rPh sb="0" eb="1">
      <t>ギ</t>
    </rPh>
    <phoneticPr fontId="3"/>
  </si>
  <si>
    <t>群</t>
    <rPh sb="0" eb="1">
      <t>グン</t>
    </rPh>
    <phoneticPr fontId="3"/>
  </si>
  <si>
    <t>2点ダメージを受け、カードを1枚引く</t>
    <rPh sb="1" eb="2">
      <t>テン</t>
    </rPh>
    <rPh sb="7" eb="8">
      <t>ウ</t>
    </rPh>
    <rPh sb="15" eb="16">
      <t>マイ</t>
    </rPh>
    <rPh sb="16" eb="17">
      <t>ヒ</t>
    </rPh>
    <phoneticPr fontId="3"/>
  </si>
  <si>
    <r>
      <t>1</t>
    </r>
    <r>
      <rPr>
        <sz val="10"/>
        <color theme="1"/>
        <rFont val="Meiryo UI"/>
        <family val="3"/>
        <charset val="128"/>
      </rPr>
      <t>5点超え</t>
    </r>
    <rPh sb="2" eb="3">
      <t>テン</t>
    </rPh>
    <rPh sb="3" eb="4">
      <t>コ</t>
    </rPh>
    <phoneticPr fontId="3"/>
  </si>
  <si>
    <t>15点以下</t>
    <rPh sb="2" eb="3">
      <t>テン</t>
    </rPh>
    <rPh sb="3" eb="5">
      <t>イカ</t>
    </rPh>
    <phoneticPr fontId="3"/>
  </si>
  <si>
    <t>カードを1枚引く</t>
    <rPh sb="5" eb="6">
      <t>マイ</t>
    </rPh>
    <rPh sb="6" eb="7">
      <t>ヒ</t>
    </rPh>
    <phoneticPr fontId="3"/>
  </si>
  <si>
    <t>軍師</t>
    <rPh sb="0" eb="2">
      <t>グンシ</t>
    </rPh>
    <phoneticPr fontId="3"/>
  </si>
  <si>
    <t>孫権</t>
    <rPh sb="0" eb="2">
      <t>ソンケン</t>
    </rPh>
    <phoneticPr fontId="3"/>
  </si>
  <si>
    <t>諸葛亮</t>
    <rPh sb="0" eb="3">
      <t>ショカツリョウ</t>
    </rPh>
    <phoneticPr fontId="3"/>
  </si>
  <si>
    <t>司馬懿</t>
    <rPh sb="0" eb="3">
      <t>シバイ</t>
    </rPh>
    <phoneticPr fontId="3"/>
  </si>
  <si>
    <t>董卓</t>
    <rPh sb="0" eb="2">
      <t>トウタク</t>
    </rPh>
    <phoneticPr fontId="3"/>
  </si>
  <si>
    <t>敵1体に1ダメージ　：　敵1体に2ダメージ</t>
    <rPh sb="0" eb="1">
      <t>テキ</t>
    </rPh>
    <rPh sb="2" eb="3">
      <t>タイ</t>
    </rPh>
    <rPh sb="12" eb="13">
      <t>テキ</t>
    </rPh>
    <rPh sb="14" eb="15">
      <t>タイ</t>
    </rPh>
    <phoneticPr fontId="3"/>
  </si>
  <si>
    <t>2点ダメージを受け、カードを1枚引く　：　カードを1枚引く</t>
    <rPh sb="1" eb="2">
      <t>テン</t>
    </rPh>
    <rPh sb="7" eb="8">
      <t>ウ</t>
    </rPh>
    <rPh sb="15" eb="16">
      <t>マイ</t>
    </rPh>
    <rPh sb="16" eb="17">
      <t>ヒ</t>
    </rPh>
    <rPh sb="26" eb="27">
      <t>マイ</t>
    </rPh>
    <rPh sb="27" eb="28">
      <t>ヒ</t>
    </rPh>
    <phoneticPr fontId="3"/>
  </si>
  <si>
    <t>敵兵士1体の攻撃力-1　：　敵兵士1体の攻撃力-2</t>
    <phoneticPr fontId="3"/>
  </si>
  <si>
    <t>初級歩兵を1体召喚</t>
    <rPh sb="0" eb="2">
      <t>ショキュウ</t>
    </rPh>
    <rPh sb="2" eb="4">
      <t>ホヘイ</t>
    </rPh>
    <rPh sb="6" eb="7">
      <t>タイ</t>
    </rPh>
    <rPh sb="7" eb="9">
      <t>ショウカン</t>
    </rPh>
    <phoneticPr fontId="3"/>
  </si>
  <si>
    <t xml:space="preserve">int RYUBI = </t>
  </si>
  <si>
    <t xml:space="preserve">int KANU = </t>
  </si>
  <si>
    <t xml:space="preserve">int TYOHI = </t>
  </si>
  <si>
    <t xml:space="preserve">int KOTYU = </t>
  </si>
  <si>
    <t xml:space="preserve">int GIEN = </t>
  </si>
  <si>
    <t xml:space="preserve">int KANGINPEI = </t>
  </si>
  <si>
    <t xml:space="preserve">int KONKOGO = </t>
  </si>
  <si>
    <t xml:space="preserve">int REINFORCEMENT = </t>
  </si>
  <si>
    <t xml:space="preserve">int GIGANTIC = </t>
  </si>
  <si>
    <t xml:space="preserve">int NATURE = </t>
  </si>
  <si>
    <t>MIDIUM_CHARGE,</t>
  </si>
  <si>
    <t>HIGHER_CHARGE,</t>
  </si>
  <si>
    <t>NOVICE_SPEAR,</t>
  </si>
  <si>
    <t>MIDIUM_SPEAR,</t>
  </si>
  <si>
    <t>HIGHER_SPEAR,</t>
  </si>
  <si>
    <t>ARROW_SHOT,</t>
  </si>
  <si>
    <t>TACTICIAN_SONKEN,</t>
  </si>
  <si>
    <t>TACTICIAN_SYOKATURYO,</t>
  </si>
  <si>
    <t>TACTICIAN_SIBAI,</t>
  </si>
  <si>
    <t>TACTICIAN_TOTAKU</t>
  </si>
  <si>
    <t>孫権</t>
    <rPh sb="0" eb="2">
      <t>ソンケン</t>
    </rPh>
    <phoneticPr fontId="3"/>
  </si>
  <si>
    <t>諸葛亮</t>
    <rPh sb="0" eb="3">
      <t>ショカツリョウ</t>
    </rPh>
    <phoneticPr fontId="3"/>
  </si>
  <si>
    <t>司馬懿</t>
    <rPh sb="0" eb="3">
      <t>シバイ</t>
    </rPh>
    <phoneticPr fontId="3"/>
  </si>
  <si>
    <t>董卓</t>
    <rPh sb="0" eb="2">
      <t>トウタク</t>
    </rPh>
    <phoneticPr fontId="3"/>
  </si>
  <si>
    <t>敵1体に1ダメージ</t>
    <rPh sb="0" eb="1">
      <t>テキ</t>
    </rPh>
    <rPh sb="2" eb="3">
      <t>タイ</t>
    </rPh>
    <phoneticPr fontId="3"/>
  </si>
  <si>
    <t>敵1体に2ダメージ</t>
    <rPh sb="0" eb="1">
      <t>テキ</t>
    </rPh>
    <rPh sb="2" eb="3">
      <t>タイ</t>
    </rPh>
    <phoneticPr fontId="3"/>
  </si>
  <si>
    <t>敵兵士1体の攻撃力-1</t>
    <rPh sb="0" eb="3">
      <t>テキヘイシ</t>
    </rPh>
    <rPh sb="4" eb="5">
      <t>タイ</t>
    </rPh>
    <rPh sb="6" eb="9">
      <t>コウゲキリョク</t>
    </rPh>
    <phoneticPr fontId="3"/>
  </si>
  <si>
    <t>敵兵士1体の攻撃力-2</t>
    <rPh sb="0" eb="3">
      <t>テキヘイシ</t>
    </rPh>
    <rPh sb="4" eb="5">
      <t>タイ</t>
    </rPh>
    <rPh sb="6" eb="9">
      <t>コウゲキリョク</t>
    </rPh>
    <phoneticPr fontId="3"/>
  </si>
  <si>
    <t>初級歩兵を2体召喚</t>
    <rPh sb="0" eb="2">
      <t>ショキュウ</t>
    </rPh>
    <rPh sb="2" eb="4">
      <t>ホヘイ</t>
    </rPh>
    <rPh sb="6" eb="7">
      <t>タイ</t>
    </rPh>
    <rPh sb="7" eb="9">
      <t>ショウカン</t>
    </rPh>
    <phoneticPr fontId="3"/>
  </si>
  <si>
    <t>雄叫び：このターン敵兵士1体の攻撃力-5</t>
    <phoneticPr fontId="3"/>
  </si>
  <si>
    <t>このターン敵兵士1体の攻撃力-3</t>
    <rPh sb="9" eb="10">
      <t>タイ</t>
    </rPh>
    <phoneticPr fontId="3"/>
  </si>
  <si>
    <t>挑発、断末魔：初級槍兵を召喚</t>
    <rPh sb="7" eb="9">
      <t>ショキュウ</t>
    </rPh>
    <phoneticPr fontId="3"/>
  </si>
  <si>
    <t>全ての兵士に3ダメージ</t>
    <phoneticPr fontId="3"/>
  </si>
  <si>
    <t>雄叫び：敵兵士1体を破壊　全ての味方兵士に2ダメージ</t>
    <rPh sb="4" eb="5">
      <t>テキ</t>
    </rPh>
    <rPh sb="5" eb="7">
      <t>ヘイシ</t>
    </rPh>
    <rPh sb="8" eb="9">
      <t>タイ</t>
    </rPh>
    <rPh sb="10" eb="12">
      <t>ハカイ</t>
    </rPh>
    <rPh sb="13" eb="14">
      <t>スベ</t>
    </rPh>
    <rPh sb="16" eb="18">
      <t>ミカタ</t>
    </rPh>
    <rPh sb="18" eb="20">
      <t>ヘイシ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</si>
</sst>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Meiryo UI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sz val="6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2" borderId="0" xfId="0" applyFont="1" applyFill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1">
    <dxf>
      <font>
        <b/>
      </font>
      <fill>
        <patternFill patternType="solid">
          <bgColor rgb="FFD7D7D7"/>
        </patternFill>
      </fill>
    </dxf>
  </dxfs>
  <tableStyles count="1" defaultTableStyle="TableStyleMedium2">
    <tableStyle name="MySqlDefault" count="1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3</xdr:row>
      <xdr:rowOff>15240</xdr:rowOff>
    </xdr:from>
    <xdr:to>
      <xdr:col>8</xdr:col>
      <xdr:colOff>297180</xdr:colOff>
      <xdr:row>16</xdr:row>
      <xdr:rowOff>91440</xdr:rowOff>
    </xdr:to>
    <xdr:sp macro="" textlink="">
      <xdr:nvSpPr>
        <xdr:cNvPr id="2" name="正方形/長方形 1"/>
        <xdr:cNvSpPr/>
      </xdr:nvSpPr>
      <xdr:spPr>
        <a:xfrm>
          <a:off x="4130040" y="558165"/>
          <a:ext cx="1653540" cy="242887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600">
              <a:solidFill>
                <a:sysClr val="windowText" lastClr="000000"/>
              </a:solidFill>
            </a:rPr>
            <a:t>塗りつぶし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426720</xdr:colOff>
      <xdr:row>2</xdr:row>
      <xdr:rowOff>167640</xdr:rowOff>
    </xdr:from>
    <xdr:to>
      <xdr:col>3</xdr:col>
      <xdr:colOff>685800</xdr:colOff>
      <xdr:row>16</xdr:row>
      <xdr:rowOff>60960</xdr:rowOff>
    </xdr:to>
    <xdr:sp macro="" textlink="">
      <xdr:nvSpPr>
        <xdr:cNvPr id="3" name="正方形/長方形 2"/>
        <xdr:cNvSpPr/>
      </xdr:nvSpPr>
      <xdr:spPr>
        <a:xfrm>
          <a:off x="1112520" y="529590"/>
          <a:ext cx="1630680" cy="242697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1</xdr:col>
      <xdr:colOff>434340</xdr:colOff>
      <xdr:row>2</xdr:row>
      <xdr:rowOff>175260</xdr:rowOff>
    </xdr:from>
    <xdr:to>
      <xdr:col>2</xdr:col>
      <xdr:colOff>60960</xdr:colOff>
      <xdr:row>4</xdr:row>
      <xdr:rowOff>152400</xdr:rowOff>
    </xdr:to>
    <xdr:sp macro="" textlink="">
      <xdr:nvSpPr>
        <xdr:cNvPr id="4" name="正方形/長方形 3"/>
        <xdr:cNvSpPr/>
      </xdr:nvSpPr>
      <xdr:spPr>
        <a:xfrm>
          <a:off x="1120140" y="53721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434340</xdr:colOff>
      <xdr:row>14</xdr:row>
      <xdr:rowOff>76200</xdr:rowOff>
    </xdr:from>
    <xdr:to>
      <xdr:col>2</xdr:col>
      <xdr:colOff>60960</xdr:colOff>
      <xdr:row>16</xdr:row>
      <xdr:rowOff>53340</xdr:rowOff>
    </xdr:to>
    <xdr:sp macro="" textlink="">
      <xdr:nvSpPr>
        <xdr:cNvPr id="5" name="正方形/長方形 4"/>
        <xdr:cNvSpPr/>
      </xdr:nvSpPr>
      <xdr:spPr>
        <a:xfrm>
          <a:off x="1120140" y="260985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350520</xdr:colOff>
      <xdr:row>14</xdr:row>
      <xdr:rowOff>76200</xdr:rowOff>
    </xdr:from>
    <xdr:to>
      <xdr:col>3</xdr:col>
      <xdr:colOff>685800</xdr:colOff>
      <xdr:row>16</xdr:row>
      <xdr:rowOff>53340</xdr:rowOff>
    </xdr:to>
    <xdr:sp macro="" textlink="">
      <xdr:nvSpPr>
        <xdr:cNvPr id="6" name="正方形/長方形 5"/>
        <xdr:cNvSpPr/>
      </xdr:nvSpPr>
      <xdr:spPr>
        <a:xfrm>
          <a:off x="2407920" y="2609850"/>
          <a:ext cx="33528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</xdr:colOff>
      <xdr:row>14</xdr:row>
      <xdr:rowOff>106680</xdr:rowOff>
    </xdr:from>
    <xdr:to>
      <xdr:col>6</xdr:col>
      <xdr:colOff>381000</xdr:colOff>
      <xdr:row>16</xdr:row>
      <xdr:rowOff>83820</xdr:rowOff>
    </xdr:to>
    <xdr:sp macro="" textlink="">
      <xdr:nvSpPr>
        <xdr:cNvPr id="7" name="正方形/長方形 6"/>
        <xdr:cNvSpPr/>
      </xdr:nvSpPr>
      <xdr:spPr>
        <a:xfrm>
          <a:off x="4137660" y="2640330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②</a:t>
          </a:r>
          <a:endParaRPr kumimoji="1" lang="en-US" altLang="ja-JP" sz="1100"/>
        </a:p>
      </xdr:txBody>
    </xdr:sp>
    <xdr:clientData/>
  </xdr:twoCellAnchor>
  <xdr:twoCellAnchor>
    <xdr:from>
      <xdr:col>7</xdr:col>
      <xdr:colOff>670560</xdr:colOff>
      <xdr:row>14</xdr:row>
      <xdr:rowOff>106680</xdr:rowOff>
    </xdr:from>
    <xdr:to>
      <xdr:col>8</xdr:col>
      <xdr:colOff>297180</xdr:colOff>
      <xdr:row>16</xdr:row>
      <xdr:rowOff>83820</xdr:rowOff>
    </xdr:to>
    <xdr:sp macro="" textlink="">
      <xdr:nvSpPr>
        <xdr:cNvPr id="8" name="正方形/長方形 7"/>
        <xdr:cNvSpPr/>
      </xdr:nvSpPr>
      <xdr:spPr>
        <a:xfrm>
          <a:off x="5471160" y="264033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④</a:t>
          </a:r>
        </a:p>
      </xdr:txBody>
    </xdr:sp>
    <xdr:clientData/>
  </xdr:twoCellAnchor>
  <xdr:twoCellAnchor>
    <xdr:from>
      <xdr:col>6</xdr:col>
      <xdr:colOff>198120</xdr:colOff>
      <xdr:row>3</xdr:row>
      <xdr:rowOff>15240</xdr:rowOff>
    </xdr:from>
    <xdr:to>
      <xdr:col>8</xdr:col>
      <xdr:colOff>137160</xdr:colOff>
      <xdr:row>9</xdr:row>
      <xdr:rowOff>164644</xdr:rowOff>
    </xdr:to>
    <xdr:sp macro="" textlink="">
      <xdr:nvSpPr>
        <xdr:cNvPr id="9" name="正方形/長方形 8"/>
        <xdr:cNvSpPr/>
      </xdr:nvSpPr>
      <xdr:spPr>
        <a:xfrm>
          <a:off x="4312920" y="558165"/>
          <a:ext cx="1310640" cy="12350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6</xdr:col>
      <xdr:colOff>22860</xdr:colOff>
      <xdr:row>3</xdr:row>
      <xdr:rowOff>22860</xdr:rowOff>
    </xdr:from>
    <xdr:to>
      <xdr:col>6</xdr:col>
      <xdr:colOff>381000</xdr:colOff>
      <xdr:row>5</xdr:row>
      <xdr:rowOff>0</xdr:rowOff>
    </xdr:to>
    <xdr:sp macro="" textlink="">
      <xdr:nvSpPr>
        <xdr:cNvPr id="10" name="正方形/長方形 9"/>
        <xdr:cNvSpPr/>
      </xdr:nvSpPr>
      <xdr:spPr>
        <a:xfrm>
          <a:off x="4137660" y="565785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③</a:t>
          </a:r>
        </a:p>
      </xdr:txBody>
    </xdr:sp>
    <xdr:clientData/>
  </xdr:twoCellAnchor>
  <xdr:twoCellAnchor>
    <xdr:from>
      <xdr:col>6</xdr:col>
      <xdr:colOff>457200</xdr:colOff>
      <xdr:row>14</xdr:row>
      <xdr:rowOff>167640</xdr:rowOff>
    </xdr:from>
    <xdr:to>
      <xdr:col>7</xdr:col>
      <xdr:colOff>579120</xdr:colOff>
      <xdr:row>16</xdr:row>
      <xdr:rowOff>38100</xdr:rowOff>
    </xdr:to>
    <xdr:sp macro="" textlink="">
      <xdr:nvSpPr>
        <xdr:cNvPr id="11" name="正方形/長方形 10"/>
        <xdr:cNvSpPr/>
      </xdr:nvSpPr>
      <xdr:spPr>
        <a:xfrm>
          <a:off x="4572000" y="2701290"/>
          <a:ext cx="807720" cy="23241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名前欄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1"/>
  <sheetViews>
    <sheetView tabSelected="1" zoomScale="85" zoomScaleNormal="85" workbookViewId="0">
      <pane xSplit="1" ySplit="1" topLeftCell="B23" activePane="bottomRight" state="frozen"/>
      <selection pane="topRight"/>
      <selection pane="bottomLeft"/>
      <selection pane="bottomRight" activeCell="F41" sqref="F41"/>
    </sheetView>
  </sheetViews>
  <sheetFormatPr defaultColWidth="9" defaultRowHeight="14.4" x14ac:dyDescent="0.3"/>
  <cols>
    <col min="3" max="3" width="11.90625" customWidth="1"/>
    <col min="7" max="7" width="19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</row>
    <row r="3" spans="1:7" x14ac:dyDescent="0.3">
      <c r="A3">
        <v>1</v>
      </c>
      <c r="B3" t="s">
        <v>8</v>
      </c>
      <c r="C3">
        <v>1</v>
      </c>
      <c r="D3">
        <v>8</v>
      </c>
      <c r="E3">
        <v>4</v>
      </c>
      <c r="F3">
        <v>7</v>
      </c>
      <c r="G3" t="s">
        <v>98</v>
      </c>
    </row>
    <row r="4" spans="1:7" x14ac:dyDescent="0.3">
      <c r="A4">
        <f>MAX(A$3:A3)+1</f>
        <v>2</v>
      </c>
      <c r="B4" t="s">
        <v>9</v>
      </c>
      <c r="C4">
        <v>1</v>
      </c>
      <c r="D4">
        <v>4</v>
      </c>
      <c r="E4">
        <v>3</v>
      </c>
      <c r="F4">
        <v>4</v>
      </c>
      <c r="G4" t="s">
        <v>99</v>
      </c>
    </row>
    <row r="5" spans="1:7" x14ac:dyDescent="0.3">
      <c r="A5">
        <f>MAX(A$3:A4)+1</f>
        <v>3</v>
      </c>
      <c r="B5" t="s">
        <v>10</v>
      </c>
      <c r="C5">
        <v>1</v>
      </c>
      <c r="D5">
        <v>3</v>
      </c>
      <c r="E5">
        <v>2</v>
      </c>
      <c r="F5">
        <v>2</v>
      </c>
      <c r="G5" t="s">
        <v>11</v>
      </c>
    </row>
    <row r="6" spans="1:7" x14ac:dyDescent="0.3">
      <c r="A6">
        <f>MAX(A$3:A5)+1</f>
        <v>4</v>
      </c>
      <c r="B6" t="s">
        <v>12</v>
      </c>
      <c r="C6">
        <v>1</v>
      </c>
      <c r="D6">
        <v>1</v>
      </c>
      <c r="E6">
        <v>1</v>
      </c>
      <c r="F6">
        <v>3</v>
      </c>
      <c r="G6" t="s">
        <v>13</v>
      </c>
    </row>
    <row r="7" spans="1:7" x14ac:dyDescent="0.3">
      <c r="A7">
        <f>MAX(A$3:A6)+1</f>
        <v>5</v>
      </c>
      <c r="B7" t="s">
        <v>14</v>
      </c>
      <c r="C7">
        <v>2</v>
      </c>
      <c r="D7">
        <v>1</v>
      </c>
      <c r="E7">
        <v>2</v>
      </c>
      <c r="F7">
        <v>-1</v>
      </c>
      <c r="G7" t="s">
        <v>15</v>
      </c>
    </row>
    <row r="8" spans="1:7" x14ac:dyDescent="0.3">
      <c r="A8">
        <f>MAX(A$3:A7)+1</f>
        <v>6</v>
      </c>
      <c r="B8" t="s">
        <v>16</v>
      </c>
      <c r="C8">
        <v>2</v>
      </c>
      <c r="D8">
        <v>2</v>
      </c>
      <c r="E8">
        <v>3</v>
      </c>
      <c r="F8">
        <v>-1</v>
      </c>
      <c r="G8" t="s">
        <v>17</v>
      </c>
    </row>
    <row r="9" spans="1:7" x14ac:dyDescent="0.3">
      <c r="A9">
        <f>MAX(A$3:A8)+1</f>
        <v>7</v>
      </c>
      <c r="B9" t="s">
        <v>18</v>
      </c>
      <c r="C9">
        <v>2</v>
      </c>
      <c r="D9">
        <v>2</v>
      </c>
      <c r="E9">
        <v>1</v>
      </c>
      <c r="F9">
        <v>-1</v>
      </c>
      <c r="G9" t="s">
        <v>19</v>
      </c>
    </row>
    <row r="10" spans="1:7" x14ac:dyDescent="0.3">
      <c r="A10">
        <f>MAX(A$3:A9)+1</f>
        <v>8</v>
      </c>
      <c r="B10" s="1" t="s">
        <v>20</v>
      </c>
      <c r="C10">
        <v>2</v>
      </c>
      <c r="D10">
        <v>4</v>
      </c>
      <c r="E10">
        <v>6</v>
      </c>
      <c r="F10">
        <v>-1</v>
      </c>
      <c r="G10" t="s">
        <v>21</v>
      </c>
    </row>
    <row r="11" spans="1:7" x14ac:dyDescent="0.3">
      <c r="A11">
        <f>MAX(A$3:A10)+1</f>
        <v>9</v>
      </c>
      <c r="B11" s="1" t="s">
        <v>22</v>
      </c>
      <c r="C11">
        <v>2</v>
      </c>
      <c r="D11">
        <v>3</v>
      </c>
      <c r="E11">
        <v>2</v>
      </c>
      <c r="F11">
        <v>-1</v>
      </c>
      <c r="G11" s="3" t="s">
        <v>100</v>
      </c>
    </row>
    <row r="12" spans="1:7" x14ac:dyDescent="0.3">
      <c r="A12">
        <f>MAX(A$3:A11)+1</f>
        <v>10</v>
      </c>
      <c r="B12" s="4" t="s">
        <v>23</v>
      </c>
      <c r="C12">
        <v>2</v>
      </c>
      <c r="D12">
        <v>5</v>
      </c>
      <c r="E12">
        <v>-1</v>
      </c>
      <c r="F12">
        <v>-1</v>
      </c>
      <c r="G12" t="s">
        <v>24</v>
      </c>
    </row>
    <row r="13" spans="1:7" x14ac:dyDescent="0.3">
      <c r="A13" t="s">
        <v>25</v>
      </c>
      <c r="B13" s="2"/>
    </row>
    <row r="14" spans="1:7" x14ac:dyDescent="0.3">
      <c r="A14">
        <v>1001</v>
      </c>
      <c r="B14" s="4" t="s">
        <v>26</v>
      </c>
      <c r="C14">
        <v>1</v>
      </c>
      <c r="D14">
        <v>10</v>
      </c>
      <c r="E14">
        <v>3</v>
      </c>
      <c r="F14">
        <v>5</v>
      </c>
      <c r="G14" t="s">
        <v>27</v>
      </c>
    </row>
    <row r="15" spans="1:7" x14ac:dyDescent="0.3">
      <c r="A15">
        <f>MAX(A$3:A14)+1</f>
        <v>1002</v>
      </c>
      <c r="B15" s="4" t="s">
        <v>28</v>
      </c>
      <c r="C15">
        <v>1</v>
      </c>
      <c r="D15">
        <v>8</v>
      </c>
      <c r="E15">
        <v>8</v>
      </c>
      <c r="F15">
        <v>9</v>
      </c>
      <c r="G15" s="3" t="s">
        <v>97</v>
      </c>
    </row>
    <row r="16" spans="1:7" x14ac:dyDescent="0.3">
      <c r="A16">
        <f>MAX(A$3:A15)+1</f>
        <v>1003</v>
      </c>
      <c r="B16" s="4" t="s">
        <v>29</v>
      </c>
      <c r="C16">
        <v>1</v>
      </c>
      <c r="D16">
        <v>8</v>
      </c>
      <c r="E16">
        <v>10</v>
      </c>
      <c r="F16">
        <v>6</v>
      </c>
      <c r="G16" s="3" t="s">
        <v>97</v>
      </c>
    </row>
    <row r="17" spans="1:7" x14ac:dyDescent="0.3">
      <c r="A17">
        <f>MAX(A$3:A16)+1</f>
        <v>1004</v>
      </c>
      <c r="B17" s="4" t="s">
        <v>30</v>
      </c>
      <c r="C17">
        <v>1</v>
      </c>
      <c r="D17">
        <v>6</v>
      </c>
      <c r="E17">
        <v>5</v>
      </c>
      <c r="F17">
        <v>7</v>
      </c>
      <c r="G17" t="s">
        <v>31</v>
      </c>
    </row>
    <row r="18" spans="1:7" x14ac:dyDescent="0.3">
      <c r="A18">
        <f>MAX(A$3:A17)+1</f>
        <v>1005</v>
      </c>
      <c r="B18" s="4" t="s">
        <v>32</v>
      </c>
      <c r="C18">
        <v>1</v>
      </c>
      <c r="D18">
        <v>5</v>
      </c>
      <c r="E18">
        <v>3</v>
      </c>
      <c r="F18">
        <v>6</v>
      </c>
      <c r="G18" t="s">
        <v>33</v>
      </c>
    </row>
    <row r="19" spans="1:7" x14ac:dyDescent="0.3">
      <c r="A19">
        <f>MAX(A$3:A18)+1</f>
        <v>1006</v>
      </c>
      <c r="B19" s="4" t="s">
        <v>34</v>
      </c>
      <c r="C19">
        <v>1</v>
      </c>
      <c r="D19">
        <v>4</v>
      </c>
      <c r="E19">
        <v>2</v>
      </c>
      <c r="F19">
        <v>6</v>
      </c>
      <c r="G19" t="s">
        <v>31</v>
      </c>
    </row>
    <row r="20" spans="1:7" x14ac:dyDescent="0.3">
      <c r="A20">
        <f>MAX(A$3:A19)+1</f>
        <v>1007</v>
      </c>
      <c r="B20" s="4" t="s">
        <v>35</v>
      </c>
      <c r="C20">
        <v>1</v>
      </c>
      <c r="D20">
        <v>1</v>
      </c>
      <c r="E20">
        <v>1</v>
      </c>
      <c r="F20">
        <v>1</v>
      </c>
      <c r="G20" t="s">
        <v>36</v>
      </c>
    </row>
    <row r="21" spans="1:7" x14ac:dyDescent="0.3">
      <c r="A21">
        <f>MAX(A$3:A20)+1</f>
        <v>1008</v>
      </c>
      <c r="B21" s="4" t="s">
        <v>37</v>
      </c>
      <c r="C21">
        <v>2</v>
      </c>
      <c r="D21">
        <v>4</v>
      </c>
      <c r="E21">
        <v>2</v>
      </c>
      <c r="F21">
        <v>-1</v>
      </c>
      <c r="G21" t="s">
        <v>38</v>
      </c>
    </row>
    <row r="22" spans="1:7" x14ac:dyDescent="0.3">
      <c r="A22">
        <f>MAX(A$3:A21)+1</f>
        <v>1009</v>
      </c>
      <c r="B22" s="4" t="s">
        <v>39</v>
      </c>
      <c r="C22">
        <v>2</v>
      </c>
      <c r="D22">
        <v>3</v>
      </c>
      <c r="E22">
        <v>3</v>
      </c>
      <c r="F22">
        <v>-1</v>
      </c>
      <c r="G22" t="s">
        <v>40</v>
      </c>
    </row>
    <row r="23" spans="1:7" x14ac:dyDescent="0.3">
      <c r="A23">
        <f>MAX(A$3:A22)+1</f>
        <v>1010</v>
      </c>
      <c r="B23" s="4" t="s">
        <v>41</v>
      </c>
      <c r="C23">
        <v>2</v>
      </c>
      <c r="D23">
        <v>2</v>
      </c>
      <c r="E23">
        <v>2</v>
      </c>
      <c r="F23">
        <v>-1</v>
      </c>
      <c r="G23" s="3" t="s">
        <v>101</v>
      </c>
    </row>
    <row r="24" spans="1:7" x14ac:dyDescent="0.3">
      <c r="A24" t="s">
        <v>42</v>
      </c>
      <c r="B24" s="2"/>
    </row>
    <row r="25" spans="1:7" x14ac:dyDescent="0.3">
      <c r="A25">
        <v>2001</v>
      </c>
      <c r="B25" s="1" t="s">
        <v>43</v>
      </c>
      <c r="C25">
        <v>1</v>
      </c>
      <c r="D25">
        <v>7</v>
      </c>
      <c r="E25">
        <v>6</v>
      </c>
      <c r="F25">
        <v>5</v>
      </c>
      <c r="G25" s="6" t="s">
        <v>44</v>
      </c>
    </row>
    <row r="26" spans="1:7" x14ac:dyDescent="0.3">
      <c r="A26">
        <f>MAX(A$3:A25)+1</f>
        <v>2002</v>
      </c>
      <c r="B26" s="1" t="s">
        <v>45</v>
      </c>
      <c r="C26">
        <v>1</v>
      </c>
      <c r="D26">
        <v>7</v>
      </c>
      <c r="E26">
        <v>6</v>
      </c>
      <c r="F26">
        <v>6</v>
      </c>
      <c r="G26" s="5" t="s">
        <v>157</v>
      </c>
    </row>
    <row r="27" spans="1:7" x14ac:dyDescent="0.3">
      <c r="A27">
        <f>MAX(A$3:A26)+1</f>
        <v>2003</v>
      </c>
      <c r="B27" s="1" t="s">
        <v>46</v>
      </c>
      <c r="C27">
        <v>1</v>
      </c>
      <c r="D27">
        <v>5</v>
      </c>
      <c r="E27">
        <v>4</v>
      </c>
      <c r="F27">
        <v>6</v>
      </c>
      <c r="G27" t="s">
        <v>47</v>
      </c>
    </row>
    <row r="28" spans="1:7" x14ac:dyDescent="0.3">
      <c r="A28">
        <f>MAX(A$3:A27)+1</f>
        <v>2004</v>
      </c>
      <c r="B28" s="1" t="s">
        <v>48</v>
      </c>
      <c r="C28">
        <v>1</v>
      </c>
      <c r="D28">
        <v>3</v>
      </c>
      <c r="E28">
        <v>2</v>
      </c>
      <c r="F28">
        <v>3</v>
      </c>
      <c r="G28" s="3" t="s">
        <v>106</v>
      </c>
    </row>
    <row r="29" spans="1:7" x14ac:dyDescent="0.3">
      <c r="A29">
        <f>MAX(A$3:A28)+1</f>
        <v>2005</v>
      </c>
      <c r="B29" s="1" t="s">
        <v>49</v>
      </c>
      <c r="C29">
        <v>1</v>
      </c>
      <c r="D29">
        <v>3</v>
      </c>
      <c r="E29">
        <v>2</v>
      </c>
      <c r="F29">
        <v>4</v>
      </c>
      <c r="G29" t="s">
        <v>47</v>
      </c>
    </row>
    <row r="30" spans="1:7" x14ac:dyDescent="0.3">
      <c r="A30">
        <f>MAX(A$3:A29)+1</f>
        <v>2006</v>
      </c>
      <c r="B30" s="1" t="s">
        <v>50</v>
      </c>
      <c r="C30">
        <v>1</v>
      </c>
      <c r="D30">
        <v>2</v>
      </c>
      <c r="E30">
        <v>1</v>
      </c>
      <c r="F30">
        <v>2</v>
      </c>
      <c r="G30" s="3" t="s">
        <v>105</v>
      </c>
    </row>
    <row r="31" spans="1:7" x14ac:dyDescent="0.3">
      <c r="A31">
        <f>MAX(A$3:A30)+1</f>
        <v>2007</v>
      </c>
      <c r="B31" s="1" t="s">
        <v>51</v>
      </c>
      <c r="C31">
        <v>2</v>
      </c>
      <c r="D31">
        <v>0</v>
      </c>
      <c r="E31">
        <v>3</v>
      </c>
      <c r="F31">
        <v>-1</v>
      </c>
      <c r="G31" s="5" t="s">
        <v>158</v>
      </c>
    </row>
    <row r="32" spans="1:7" x14ac:dyDescent="0.3">
      <c r="A32">
        <f>MAX(A$3:A31)+1</f>
        <v>2008</v>
      </c>
      <c r="B32" s="1" t="s">
        <v>52</v>
      </c>
      <c r="C32">
        <v>2</v>
      </c>
      <c r="D32">
        <v>4</v>
      </c>
      <c r="E32">
        <v>3</v>
      </c>
      <c r="F32">
        <v>-1</v>
      </c>
      <c r="G32" t="s">
        <v>53</v>
      </c>
    </row>
    <row r="33" spans="1:7" x14ac:dyDescent="0.3">
      <c r="A33">
        <f>MAX(A$3:A32)+1</f>
        <v>2009</v>
      </c>
      <c r="B33" s="1" t="s">
        <v>54</v>
      </c>
      <c r="C33">
        <v>2</v>
      </c>
      <c r="D33">
        <v>4</v>
      </c>
      <c r="E33">
        <v>2</v>
      </c>
      <c r="F33">
        <v>-1</v>
      </c>
      <c r="G33" s="3" t="s">
        <v>102</v>
      </c>
    </row>
    <row r="34" spans="1:7" x14ac:dyDescent="0.3">
      <c r="A34">
        <f>MAX(A$3:A33)+1</f>
        <v>2010</v>
      </c>
      <c r="B34" s="1" t="s">
        <v>55</v>
      </c>
      <c r="C34">
        <v>2</v>
      </c>
      <c r="D34">
        <v>5</v>
      </c>
      <c r="E34">
        <v>8</v>
      </c>
      <c r="F34">
        <v>-1</v>
      </c>
      <c r="G34" t="s">
        <v>56</v>
      </c>
    </row>
    <row r="35" spans="1:7" x14ac:dyDescent="0.3">
      <c r="A35" t="s">
        <v>57</v>
      </c>
      <c r="B35" s="2"/>
    </row>
    <row r="36" spans="1:7" x14ac:dyDescent="0.3">
      <c r="A36">
        <v>3001</v>
      </c>
      <c r="B36" s="1" t="s">
        <v>58</v>
      </c>
      <c r="C36">
        <v>1</v>
      </c>
      <c r="D36">
        <v>10</v>
      </c>
      <c r="E36">
        <v>5</v>
      </c>
      <c r="F36">
        <v>10</v>
      </c>
      <c r="G36" t="s">
        <v>59</v>
      </c>
    </row>
    <row r="37" spans="1:7" x14ac:dyDescent="0.3">
      <c r="A37">
        <f>MAX(A$3:A36)+1</f>
        <v>3002</v>
      </c>
      <c r="B37" s="1" t="s">
        <v>60</v>
      </c>
      <c r="C37">
        <v>1</v>
      </c>
      <c r="D37">
        <v>6</v>
      </c>
      <c r="E37">
        <v>3</v>
      </c>
      <c r="F37">
        <v>5</v>
      </c>
      <c r="G37" s="3" t="s">
        <v>103</v>
      </c>
    </row>
    <row r="38" spans="1:7" x14ac:dyDescent="0.3">
      <c r="A38">
        <f>MAX(A$3:A37)+1</f>
        <v>3003</v>
      </c>
      <c r="B38" s="1" t="s">
        <v>61</v>
      </c>
      <c r="C38">
        <v>1</v>
      </c>
      <c r="D38">
        <v>5</v>
      </c>
      <c r="E38">
        <v>4</v>
      </c>
      <c r="F38">
        <v>4</v>
      </c>
      <c r="G38" t="s">
        <v>62</v>
      </c>
    </row>
    <row r="39" spans="1:7" x14ac:dyDescent="0.3">
      <c r="A39">
        <f>MAX(A$3:A38)+1</f>
        <v>3004</v>
      </c>
      <c r="B39" s="1" t="s">
        <v>63</v>
      </c>
      <c r="C39">
        <v>1</v>
      </c>
      <c r="D39">
        <v>4</v>
      </c>
      <c r="E39">
        <v>3</v>
      </c>
      <c r="F39">
        <v>5</v>
      </c>
      <c r="G39" t="s">
        <v>64</v>
      </c>
    </row>
    <row r="40" spans="1:7" x14ac:dyDescent="0.3">
      <c r="A40">
        <f>MAX(A$3:A39)+1</f>
        <v>3005</v>
      </c>
      <c r="B40" s="1" t="s">
        <v>65</v>
      </c>
      <c r="C40">
        <v>1</v>
      </c>
      <c r="D40">
        <v>3</v>
      </c>
      <c r="E40">
        <v>1</v>
      </c>
      <c r="F40">
        <v>3</v>
      </c>
      <c r="G40" s="5" t="s">
        <v>159</v>
      </c>
    </row>
    <row r="41" spans="1:7" x14ac:dyDescent="0.3">
      <c r="A41">
        <f>MAX(A$3:A40)+1</f>
        <v>3006</v>
      </c>
      <c r="B41" s="1" t="s">
        <v>66</v>
      </c>
      <c r="C41">
        <v>1</v>
      </c>
      <c r="D41">
        <v>5</v>
      </c>
      <c r="E41">
        <v>2</v>
      </c>
      <c r="F41">
        <v>3</v>
      </c>
      <c r="G41" s="5" t="s">
        <v>161</v>
      </c>
    </row>
    <row r="42" spans="1:7" x14ac:dyDescent="0.3">
      <c r="A42">
        <f>MAX(A$3:A41)+1</f>
        <v>3007</v>
      </c>
      <c r="B42" s="1" t="s">
        <v>67</v>
      </c>
      <c r="C42">
        <v>1</v>
      </c>
      <c r="D42">
        <v>2</v>
      </c>
      <c r="E42">
        <v>1</v>
      </c>
      <c r="F42">
        <v>1</v>
      </c>
      <c r="G42" t="s">
        <v>68</v>
      </c>
    </row>
    <row r="43" spans="1:7" x14ac:dyDescent="0.3">
      <c r="A43">
        <f>MAX(A$3:A42)+1</f>
        <v>3008</v>
      </c>
      <c r="B43" s="1" t="s">
        <v>69</v>
      </c>
      <c r="C43">
        <v>1</v>
      </c>
      <c r="D43">
        <v>1</v>
      </c>
      <c r="E43">
        <v>1</v>
      </c>
      <c r="F43">
        <v>1</v>
      </c>
      <c r="G43" t="s">
        <v>70</v>
      </c>
    </row>
    <row r="44" spans="1:7" x14ac:dyDescent="0.3">
      <c r="A44">
        <f>MAX(A$3:A43)+1</f>
        <v>3009</v>
      </c>
      <c r="B44" s="1" t="s">
        <v>71</v>
      </c>
      <c r="C44">
        <v>1</v>
      </c>
      <c r="D44">
        <v>1</v>
      </c>
      <c r="E44">
        <v>0</v>
      </c>
      <c r="F44">
        <v>4</v>
      </c>
      <c r="G44" t="s">
        <v>72</v>
      </c>
    </row>
    <row r="45" spans="1:7" x14ac:dyDescent="0.3">
      <c r="A45">
        <f>MAX(A$3:A44)+1</f>
        <v>3010</v>
      </c>
      <c r="B45" s="1" t="s">
        <v>73</v>
      </c>
      <c r="C45">
        <v>2</v>
      </c>
      <c r="D45">
        <v>4</v>
      </c>
      <c r="E45">
        <v>3</v>
      </c>
      <c r="F45">
        <v>-1</v>
      </c>
      <c r="G45" s="5" t="s">
        <v>160</v>
      </c>
    </row>
    <row r="46" spans="1:7" x14ac:dyDescent="0.3">
      <c r="A46" t="s">
        <v>74</v>
      </c>
      <c r="B46" s="2"/>
    </row>
    <row r="47" spans="1:7" x14ac:dyDescent="0.3">
      <c r="A47">
        <v>4001</v>
      </c>
      <c r="B47" s="1" t="s">
        <v>75</v>
      </c>
      <c r="C47">
        <v>1</v>
      </c>
      <c r="D47">
        <v>1</v>
      </c>
      <c r="E47">
        <v>1</v>
      </c>
      <c r="F47">
        <v>1</v>
      </c>
      <c r="G47" s="3" t="s">
        <v>97</v>
      </c>
    </row>
    <row r="48" spans="1:7" x14ac:dyDescent="0.3">
      <c r="A48">
        <f>MAX(A$3:A47)+1</f>
        <v>4002</v>
      </c>
      <c r="B48" s="1" t="s">
        <v>76</v>
      </c>
      <c r="C48">
        <v>1</v>
      </c>
      <c r="D48">
        <v>3</v>
      </c>
      <c r="E48">
        <v>3</v>
      </c>
      <c r="F48">
        <v>3</v>
      </c>
      <c r="G48" s="3" t="s">
        <v>97</v>
      </c>
    </row>
    <row r="49" spans="1:7" x14ac:dyDescent="0.3">
      <c r="A49">
        <f>MAX(A$3:A48)+1</f>
        <v>4003</v>
      </c>
      <c r="B49" s="1" t="s">
        <v>77</v>
      </c>
      <c r="C49">
        <v>1</v>
      </c>
      <c r="D49">
        <v>5</v>
      </c>
      <c r="E49">
        <v>5</v>
      </c>
      <c r="F49">
        <v>5</v>
      </c>
      <c r="G49" s="3" t="s">
        <v>97</v>
      </c>
    </row>
    <row r="50" spans="1:7" x14ac:dyDescent="0.3">
      <c r="A50">
        <f>MAX(A$3:A49)+1</f>
        <v>4004</v>
      </c>
      <c r="B50" s="1" t="s">
        <v>78</v>
      </c>
      <c r="C50">
        <v>1</v>
      </c>
      <c r="D50">
        <v>1</v>
      </c>
      <c r="E50">
        <v>1</v>
      </c>
      <c r="F50">
        <v>1</v>
      </c>
      <c r="G50" t="s">
        <v>79</v>
      </c>
    </row>
    <row r="51" spans="1:7" x14ac:dyDescent="0.3">
      <c r="A51">
        <f>MAX(A$3:A50)+1</f>
        <v>4005</v>
      </c>
      <c r="B51" s="1" t="s">
        <v>80</v>
      </c>
      <c r="C51">
        <v>1</v>
      </c>
      <c r="D51">
        <v>3</v>
      </c>
      <c r="E51">
        <v>3</v>
      </c>
      <c r="F51">
        <v>1</v>
      </c>
      <c r="G51" t="s">
        <v>79</v>
      </c>
    </row>
    <row r="52" spans="1:7" x14ac:dyDescent="0.3">
      <c r="A52">
        <f>MAX(A$3:A51)+1</f>
        <v>4006</v>
      </c>
      <c r="B52" s="1" t="s">
        <v>81</v>
      </c>
      <c r="C52">
        <v>1</v>
      </c>
      <c r="D52">
        <v>5</v>
      </c>
      <c r="E52">
        <v>4</v>
      </c>
      <c r="F52">
        <v>2</v>
      </c>
      <c r="G52" t="s">
        <v>79</v>
      </c>
    </row>
    <row r="53" spans="1:7" x14ac:dyDescent="0.3">
      <c r="A53">
        <f>MAX(A$3:A52)+1</f>
        <v>4007</v>
      </c>
      <c r="B53" s="1" t="s">
        <v>82</v>
      </c>
      <c r="C53">
        <v>1</v>
      </c>
      <c r="D53">
        <v>1</v>
      </c>
      <c r="E53">
        <v>1</v>
      </c>
      <c r="F53">
        <v>3</v>
      </c>
      <c r="G53" t="s">
        <v>31</v>
      </c>
    </row>
    <row r="54" spans="1:7" x14ac:dyDescent="0.3">
      <c r="A54">
        <f>MAX(A$3:A53)+1</f>
        <v>4008</v>
      </c>
      <c r="B54" s="1" t="s">
        <v>83</v>
      </c>
      <c r="C54">
        <v>1</v>
      </c>
      <c r="D54">
        <v>3</v>
      </c>
      <c r="E54">
        <v>2</v>
      </c>
      <c r="F54">
        <v>4</v>
      </c>
      <c r="G54" t="s">
        <v>31</v>
      </c>
    </row>
    <row r="55" spans="1:7" x14ac:dyDescent="0.3">
      <c r="A55">
        <f>MAX(A$3:A54)+1</f>
        <v>4009</v>
      </c>
      <c r="B55" s="1" t="s">
        <v>84</v>
      </c>
      <c r="C55">
        <v>1</v>
      </c>
      <c r="D55">
        <v>5</v>
      </c>
      <c r="E55">
        <v>4</v>
      </c>
      <c r="F55">
        <v>6</v>
      </c>
      <c r="G55" t="s">
        <v>31</v>
      </c>
    </row>
    <row r="56" spans="1:7" x14ac:dyDescent="0.3">
      <c r="A56">
        <f>MAX(A$3:A55)+1</f>
        <v>4010</v>
      </c>
      <c r="B56" s="1" t="s">
        <v>85</v>
      </c>
      <c r="C56">
        <v>2</v>
      </c>
      <c r="D56">
        <v>2</v>
      </c>
      <c r="E56">
        <v>1</v>
      </c>
      <c r="F56">
        <v>-1</v>
      </c>
      <c r="G56" s="3" t="s">
        <v>104</v>
      </c>
    </row>
    <row r="57" spans="1:7" x14ac:dyDescent="0.3">
      <c r="A57" s="3" t="s">
        <v>119</v>
      </c>
    </row>
    <row r="58" spans="1:7" x14ac:dyDescent="0.3">
      <c r="A58">
        <v>9001</v>
      </c>
      <c r="B58" s="1" t="s">
        <v>120</v>
      </c>
      <c r="C58">
        <v>2</v>
      </c>
      <c r="D58">
        <v>2</v>
      </c>
      <c r="E58">
        <v>-1</v>
      </c>
      <c r="F58">
        <v>-1</v>
      </c>
      <c r="G58" s="3" t="s">
        <v>124</v>
      </c>
    </row>
    <row r="59" spans="1:7" x14ac:dyDescent="0.3">
      <c r="A59">
        <f>MAX(A$3:A58)+1</f>
        <v>9002</v>
      </c>
      <c r="B59" s="1" t="s">
        <v>121</v>
      </c>
      <c r="C59">
        <v>2</v>
      </c>
      <c r="D59">
        <v>2</v>
      </c>
      <c r="E59">
        <v>-1</v>
      </c>
      <c r="F59">
        <v>-1</v>
      </c>
      <c r="G59" s="3" t="s">
        <v>125</v>
      </c>
    </row>
    <row r="60" spans="1:7" x14ac:dyDescent="0.3">
      <c r="A60">
        <f>MAX(A$3:A59)+1</f>
        <v>9003</v>
      </c>
      <c r="B60" s="1" t="s">
        <v>122</v>
      </c>
      <c r="C60">
        <v>2</v>
      </c>
      <c r="D60">
        <v>2</v>
      </c>
      <c r="E60">
        <v>-1</v>
      </c>
      <c r="F60">
        <v>-1</v>
      </c>
      <c r="G60" s="3" t="s">
        <v>126</v>
      </c>
    </row>
    <row r="61" spans="1:7" x14ac:dyDescent="0.3">
      <c r="A61">
        <f>MAX(A$3:A60)+1</f>
        <v>9004</v>
      </c>
      <c r="B61" s="1" t="s">
        <v>123</v>
      </c>
      <c r="C61">
        <v>2</v>
      </c>
      <c r="D61">
        <v>2</v>
      </c>
      <c r="E61">
        <v>-1</v>
      </c>
      <c r="F61">
        <v>-1</v>
      </c>
      <c r="G61" s="3" t="s">
        <v>127</v>
      </c>
    </row>
  </sheetData>
  <phoneticPr fontId="3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workbookViewId="0">
      <selection activeCell="F7" sqref="F7"/>
    </sheetView>
  </sheetViews>
  <sheetFormatPr defaultColWidth="9" defaultRowHeight="14.4" x14ac:dyDescent="0.3"/>
  <cols>
    <col min="6" max="6" width="24.1796875" bestFit="1" customWidth="1"/>
    <col min="7" max="7" width="10.90625" bestFit="1" customWidth="1"/>
  </cols>
  <sheetData>
    <row r="1" spans="1:7" x14ac:dyDescent="0.3">
      <c r="A1" t="s">
        <v>86</v>
      </c>
    </row>
    <row r="2" spans="1:7" x14ac:dyDescent="0.3">
      <c r="A2" t="s">
        <v>87</v>
      </c>
      <c r="F2" s="3" t="s">
        <v>116</v>
      </c>
      <c r="G2" s="3" t="s">
        <v>117</v>
      </c>
    </row>
    <row r="3" spans="1:7" x14ac:dyDescent="0.3">
      <c r="A3" t="s">
        <v>88</v>
      </c>
      <c r="D3" s="3" t="s">
        <v>111</v>
      </c>
      <c r="E3" s="3" t="s">
        <v>148</v>
      </c>
      <c r="F3" s="3" t="s">
        <v>152</v>
      </c>
      <c r="G3" s="3" t="s">
        <v>153</v>
      </c>
    </row>
    <row r="4" spans="1:7" x14ac:dyDescent="0.3">
      <c r="A4" t="s">
        <v>89</v>
      </c>
      <c r="D4" s="3" t="s">
        <v>112</v>
      </c>
      <c r="E4" s="3" t="s">
        <v>149</v>
      </c>
      <c r="F4" s="3" t="s">
        <v>115</v>
      </c>
      <c r="G4" s="3" t="s">
        <v>118</v>
      </c>
    </row>
    <row r="5" spans="1:7" x14ac:dyDescent="0.3">
      <c r="A5" t="s">
        <v>90</v>
      </c>
      <c r="D5" s="3" t="s">
        <v>113</v>
      </c>
      <c r="E5" s="3" t="s">
        <v>150</v>
      </c>
      <c r="F5" s="3" t="s">
        <v>154</v>
      </c>
      <c r="G5" s="3" t="s">
        <v>155</v>
      </c>
    </row>
    <row r="6" spans="1:7" x14ac:dyDescent="0.3">
      <c r="A6" t="s">
        <v>91</v>
      </c>
      <c r="D6" s="3" t="s">
        <v>114</v>
      </c>
      <c r="E6" s="3" t="s">
        <v>151</v>
      </c>
      <c r="F6" s="3" t="s">
        <v>127</v>
      </c>
      <c r="G6" s="3" t="s">
        <v>156</v>
      </c>
    </row>
    <row r="8" spans="1:7" x14ac:dyDescent="0.3">
      <c r="A8" t="s">
        <v>92</v>
      </c>
    </row>
    <row r="14" spans="1:7" x14ac:dyDescent="0.3">
      <c r="A14" s="3" t="s">
        <v>107</v>
      </c>
      <c r="D14" s="3"/>
      <c r="E14" s="3"/>
    </row>
    <row r="15" spans="1:7" x14ac:dyDescent="0.3">
      <c r="A15" s="3" t="s">
        <v>108</v>
      </c>
      <c r="D15" s="3"/>
      <c r="E15" s="3"/>
      <c r="F15" s="3"/>
    </row>
    <row r="16" spans="1:7" x14ac:dyDescent="0.3">
      <c r="A16" s="3" t="s">
        <v>109</v>
      </c>
    </row>
    <row r="17" spans="1:5" x14ac:dyDescent="0.3">
      <c r="A17" s="3" t="s">
        <v>110</v>
      </c>
      <c r="D17" s="3"/>
      <c r="E17" s="3"/>
    </row>
    <row r="18" spans="1:5" x14ac:dyDescent="0.3">
      <c r="A18" s="3"/>
      <c r="D18" s="3"/>
      <c r="E18" s="3"/>
    </row>
    <row r="20" spans="1:5" x14ac:dyDescent="0.3">
      <c r="D20" s="3"/>
      <c r="E20" s="3"/>
    </row>
    <row r="23" spans="1:5" x14ac:dyDescent="0.3">
      <c r="D23" s="3"/>
      <c r="E23" s="3"/>
    </row>
    <row r="24" spans="1:5" x14ac:dyDescent="0.3">
      <c r="D24" s="3"/>
      <c r="E24" s="3"/>
    </row>
  </sheetData>
  <phoneticPr fontId="3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G19"/>
  <sheetViews>
    <sheetView workbookViewId="0">
      <selection activeCell="K14" sqref="K14"/>
    </sheetView>
  </sheetViews>
  <sheetFormatPr defaultColWidth="9" defaultRowHeight="14.4" x14ac:dyDescent="0.3"/>
  <sheetData>
    <row r="2" spans="3:7" x14ac:dyDescent="0.3">
      <c r="C2" t="s">
        <v>93</v>
      </c>
      <c r="G2" t="s">
        <v>94</v>
      </c>
    </row>
    <row r="8" spans="3:7" x14ac:dyDescent="0.3">
      <c r="C8" t="s">
        <v>95</v>
      </c>
    </row>
    <row r="19" spans="6:6" x14ac:dyDescent="0.3">
      <c r="F19" t="s">
        <v>96</v>
      </c>
    </row>
  </sheetData>
  <phoneticPr fontId="3"/>
  <pageMargins left="0.69930555555555596" right="0.69930555555555596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selection activeCell="E24" sqref="E24"/>
    </sheetView>
  </sheetViews>
  <sheetFormatPr defaultRowHeight="14.4" x14ac:dyDescent="0.3"/>
  <sheetData>
    <row r="1" spans="1:9" x14ac:dyDescent="0.3">
      <c r="A1" t="s">
        <v>144</v>
      </c>
      <c r="B1" t="s">
        <v>145</v>
      </c>
      <c r="C1" t="s">
        <v>146</v>
      </c>
      <c r="D1" t="s">
        <v>147</v>
      </c>
    </row>
    <row r="2" spans="1:9" x14ac:dyDescent="0.3">
      <c r="A2" t="s">
        <v>144</v>
      </c>
      <c r="B2" t="str">
        <f>SUBSTITUTE(SUBSTITUTE(A2," ",""),",","")</f>
        <v>TACTICIAN_SONKEN</v>
      </c>
      <c r="C2">
        <v>9001</v>
      </c>
      <c r="D2" t="str">
        <f>"int "&amp;B2&amp;" = "&amp;C2&amp;";"</f>
        <v>int TACTICIAN_SONKEN = 9001;</v>
      </c>
      <c r="H2" t="s">
        <v>128</v>
      </c>
      <c r="I2" t="str">
        <f t="shared" ref="I2:I11" si="0">H2&amp;C2&amp;";"</f>
        <v>int RYUBI = 9001;</v>
      </c>
    </row>
    <row r="3" spans="1:9" x14ac:dyDescent="0.3">
      <c r="A3" t="s">
        <v>145</v>
      </c>
      <c r="B3" t="str">
        <f t="shared" ref="B3:B11" si="1">SUBSTITUTE(SUBSTITUTE(A3," ",""),",","")</f>
        <v>TACTICIAN_SYOKATURYO</v>
      </c>
      <c r="C3">
        <f>C2+1</f>
        <v>9002</v>
      </c>
      <c r="D3" t="str">
        <f t="shared" ref="D3:D11" si="2">"int "&amp;B3&amp;" = "&amp;C3&amp;";"</f>
        <v>int TACTICIAN_SYOKATURYO = 9002;</v>
      </c>
      <c r="H3" t="s">
        <v>129</v>
      </c>
      <c r="I3" t="str">
        <f t="shared" si="0"/>
        <v>int KANU = 9002;</v>
      </c>
    </row>
    <row r="4" spans="1:9" x14ac:dyDescent="0.3">
      <c r="A4" t="s">
        <v>146</v>
      </c>
      <c r="B4" t="str">
        <f t="shared" si="1"/>
        <v>TACTICIAN_SIBAI</v>
      </c>
      <c r="C4">
        <f t="shared" ref="C4:C11" si="3">C3+1</f>
        <v>9003</v>
      </c>
      <c r="D4" t="str">
        <f t="shared" si="2"/>
        <v>int TACTICIAN_SIBAI = 9003;</v>
      </c>
      <c r="H4" t="s">
        <v>130</v>
      </c>
      <c r="I4" t="str">
        <f t="shared" si="0"/>
        <v>int TYOHI = 9003;</v>
      </c>
    </row>
    <row r="5" spans="1:9" x14ac:dyDescent="0.3">
      <c r="A5" t="s">
        <v>147</v>
      </c>
      <c r="B5" t="str">
        <f t="shared" si="1"/>
        <v>TACTICIAN_TOTAKU</v>
      </c>
      <c r="C5">
        <f t="shared" si="3"/>
        <v>9004</v>
      </c>
      <c r="D5" t="str">
        <f t="shared" si="2"/>
        <v>int TACTICIAN_TOTAKU = 9004;</v>
      </c>
      <c r="H5" t="s">
        <v>131</v>
      </c>
      <c r="I5" t="str">
        <f t="shared" si="0"/>
        <v>int KOTYU = 9004;</v>
      </c>
    </row>
    <row r="6" spans="1:9" x14ac:dyDescent="0.3">
      <c r="A6" t="s">
        <v>138</v>
      </c>
      <c r="B6" t="str">
        <f t="shared" si="1"/>
        <v>MIDIUM_CHARGE</v>
      </c>
      <c r="C6">
        <f t="shared" si="3"/>
        <v>9005</v>
      </c>
      <c r="D6" t="str">
        <f t="shared" si="2"/>
        <v>int MIDIUM_CHARGE = 9005;</v>
      </c>
      <c r="H6" t="s">
        <v>132</v>
      </c>
      <c r="I6" t="str">
        <f t="shared" si="0"/>
        <v>int GIEN = 9005;</v>
      </c>
    </row>
    <row r="7" spans="1:9" x14ac:dyDescent="0.3">
      <c r="A7" t="s">
        <v>139</v>
      </c>
      <c r="B7" t="str">
        <f t="shared" si="1"/>
        <v>HIGHER_CHARGE</v>
      </c>
      <c r="C7">
        <f t="shared" si="3"/>
        <v>9006</v>
      </c>
      <c r="D7" t="str">
        <f t="shared" si="2"/>
        <v>int HIGHER_CHARGE = 9006;</v>
      </c>
      <c r="H7" t="s">
        <v>133</v>
      </c>
      <c r="I7" t="str">
        <f t="shared" si="0"/>
        <v>int KANGINPEI = 9006;</v>
      </c>
    </row>
    <row r="8" spans="1:9" x14ac:dyDescent="0.3">
      <c r="A8" t="s">
        <v>140</v>
      </c>
      <c r="B8" t="str">
        <f t="shared" si="1"/>
        <v>NOVICE_SPEAR</v>
      </c>
      <c r="C8">
        <f t="shared" si="3"/>
        <v>9007</v>
      </c>
      <c r="D8" t="str">
        <f t="shared" si="2"/>
        <v>int NOVICE_SPEAR = 9007;</v>
      </c>
      <c r="H8" t="s">
        <v>134</v>
      </c>
      <c r="I8" t="str">
        <f t="shared" si="0"/>
        <v>int KONKOGO = 9007;</v>
      </c>
    </row>
    <row r="9" spans="1:9" x14ac:dyDescent="0.3">
      <c r="A9" t="s">
        <v>141</v>
      </c>
      <c r="B9" t="str">
        <f t="shared" si="1"/>
        <v>MIDIUM_SPEAR</v>
      </c>
      <c r="C9">
        <f t="shared" si="3"/>
        <v>9008</v>
      </c>
      <c r="D9" t="str">
        <f t="shared" si="2"/>
        <v>int MIDIUM_SPEAR = 9008;</v>
      </c>
      <c r="H9" t="s">
        <v>135</v>
      </c>
      <c r="I9" t="str">
        <f t="shared" si="0"/>
        <v>int REINFORCEMENT = 9008;</v>
      </c>
    </row>
    <row r="10" spans="1:9" x14ac:dyDescent="0.3">
      <c r="A10" t="s">
        <v>142</v>
      </c>
      <c r="B10" t="str">
        <f t="shared" si="1"/>
        <v>HIGHER_SPEAR</v>
      </c>
      <c r="C10">
        <f t="shared" si="3"/>
        <v>9009</v>
      </c>
      <c r="D10" t="str">
        <f t="shared" si="2"/>
        <v>int HIGHER_SPEAR = 9009;</v>
      </c>
      <c r="H10" t="s">
        <v>136</v>
      </c>
      <c r="I10" t="str">
        <f t="shared" si="0"/>
        <v>int GIGANTIC = 9009;</v>
      </c>
    </row>
    <row r="11" spans="1:9" x14ac:dyDescent="0.3">
      <c r="A11" t="s">
        <v>143</v>
      </c>
      <c r="B11" t="str">
        <f t="shared" si="1"/>
        <v>ARROW_SHOT</v>
      </c>
      <c r="C11">
        <f t="shared" si="3"/>
        <v>9010</v>
      </c>
      <c r="D11" t="str">
        <f t="shared" si="2"/>
        <v>int ARROW_SHOT = 9010;</v>
      </c>
      <c r="H11" t="s">
        <v>137</v>
      </c>
      <c r="I11" t="str">
        <f t="shared" si="0"/>
        <v>int NATURE = 9010;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カードリスト</vt:lpstr>
      <vt:lpstr>Sheet1</vt:lpstr>
      <vt:lpstr>Sheet1 (2)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2016-08-08T11:58:00Z</dcterms:created>
  <dcterms:modified xsi:type="dcterms:W3CDTF">2016-08-21T17:17:02Z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6ed1f427-7f3c-4fc7-9051-13c321bce1d2</vt:lpwstr>
  </property>
  <property fmtid="{D5CDD505-2E9C-101B-9397-08002B2CF9AE}" pid="3" name="KSOProductBuildVer">
    <vt:lpwstr>1041-10.8.0.5423</vt:lpwstr>
  </property>
</Properties>
</file>